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WYH\Downloads\"/>
    </mc:Choice>
  </mc:AlternateContent>
  <xr:revisionPtr revIDLastSave="0" documentId="8_{29474124-AB80-48AD-BB83-7C592CB729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oy Calculation" sheetId="1" r:id="rId1"/>
    <sheet name="Formula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Q7" i="1" s="1"/>
  <c r="Q21" i="1"/>
  <c r="M21" i="1"/>
  <c r="K21" i="1"/>
  <c r="L21" i="1" s="1"/>
  <c r="N21" i="1" s="1"/>
  <c r="O21" i="1" s="1"/>
  <c r="P21" i="1" s="1"/>
  <c r="J21" i="1"/>
  <c r="I21" i="1"/>
  <c r="Q20" i="1"/>
  <c r="M20" i="1"/>
  <c r="K20" i="1"/>
  <c r="L20" i="1" s="1"/>
  <c r="N20" i="1" s="1"/>
  <c r="O20" i="1" s="1"/>
  <c r="P20" i="1" s="1"/>
  <c r="J20" i="1"/>
  <c r="I20" i="1"/>
  <c r="Q19" i="1"/>
  <c r="M19" i="1"/>
  <c r="K19" i="1"/>
  <c r="I19" i="1"/>
  <c r="J19" i="1" s="1"/>
  <c r="L19" i="1" s="1"/>
  <c r="N19" i="1" s="1"/>
  <c r="O19" i="1" s="1"/>
  <c r="P19" i="1" s="1"/>
  <c r="Q18" i="1"/>
  <c r="M18" i="1"/>
  <c r="L18" i="1"/>
  <c r="N18" i="1" s="1"/>
  <c r="O18" i="1" s="1"/>
  <c r="P18" i="1" s="1"/>
  <c r="K18" i="1"/>
  <c r="J18" i="1"/>
  <c r="I18" i="1"/>
  <c r="Q17" i="1"/>
  <c r="M17" i="1"/>
  <c r="K17" i="1"/>
  <c r="I17" i="1"/>
  <c r="J17" i="1" s="1"/>
  <c r="Q16" i="1"/>
  <c r="M16" i="1"/>
  <c r="K16" i="1"/>
  <c r="I16" i="1"/>
  <c r="J16" i="1" s="1"/>
  <c r="L16" i="1" s="1"/>
  <c r="N16" i="1" s="1"/>
  <c r="O16" i="1" s="1"/>
  <c r="P16" i="1" s="1"/>
  <c r="Q15" i="1"/>
  <c r="M15" i="1"/>
  <c r="K15" i="1"/>
  <c r="I15" i="1"/>
  <c r="J15" i="1" s="1"/>
  <c r="Q14" i="1"/>
  <c r="M14" i="1"/>
  <c r="K14" i="1"/>
  <c r="I14" i="1"/>
  <c r="J14" i="1" s="1"/>
  <c r="Q13" i="1"/>
  <c r="M13" i="1"/>
  <c r="K13" i="1"/>
  <c r="L13" i="1" s="1"/>
  <c r="N13" i="1" s="1"/>
  <c r="O13" i="1" s="1"/>
  <c r="P13" i="1" s="1"/>
  <c r="I13" i="1"/>
  <c r="J13" i="1" s="1"/>
  <c r="Q12" i="1"/>
  <c r="M12" i="1"/>
  <c r="K12" i="1"/>
  <c r="I12" i="1"/>
  <c r="J12" i="1" s="1"/>
  <c r="Q11" i="1"/>
  <c r="M11" i="1"/>
  <c r="K11" i="1"/>
  <c r="I11" i="1"/>
  <c r="J11" i="1" s="1"/>
  <c r="Q10" i="1"/>
  <c r="M10" i="1"/>
  <c r="K10" i="1"/>
  <c r="L10" i="1" s="1"/>
  <c r="N10" i="1" s="1"/>
  <c r="O10" i="1" s="1"/>
  <c r="P10" i="1" s="1"/>
  <c r="J10" i="1"/>
  <c r="I10" i="1"/>
  <c r="Q9" i="1"/>
  <c r="M9" i="1"/>
  <c r="K9" i="1"/>
  <c r="I9" i="1"/>
  <c r="J9" i="1" s="1"/>
  <c r="Q8" i="1"/>
  <c r="M8" i="1"/>
  <c r="L8" i="1"/>
  <c r="N8" i="1" s="1"/>
  <c r="O8" i="1" s="1"/>
  <c r="P8" i="1" s="1"/>
  <c r="K8" i="1"/>
  <c r="J8" i="1"/>
  <c r="I8" i="1"/>
  <c r="K7" i="1"/>
  <c r="I7" i="1" l="1"/>
  <c r="J7" i="1" s="1"/>
  <c r="L7" i="1" s="1"/>
  <c r="M7" i="1"/>
  <c r="L12" i="1"/>
  <c r="N12" i="1" s="1"/>
  <c r="O12" i="1" s="1"/>
  <c r="P12" i="1" s="1"/>
  <c r="L15" i="1"/>
  <c r="N15" i="1" s="1"/>
  <c r="O15" i="1" s="1"/>
  <c r="P15" i="1" s="1"/>
  <c r="L17" i="1"/>
  <c r="N17" i="1" s="1"/>
  <c r="O17" i="1" s="1"/>
  <c r="P17" i="1" s="1"/>
  <c r="L11" i="1"/>
  <c r="N11" i="1" s="1"/>
  <c r="O11" i="1" s="1"/>
  <c r="P11" i="1" s="1"/>
  <c r="L14" i="1"/>
  <c r="N14" i="1" s="1"/>
  <c r="O14" i="1" s="1"/>
  <c r="P14" i="1" s="1"/>
  <c r="L9" i="1"/>
  <c r="N9" i="1" s="1"/>
  <c r="O9" i="1" s="1"/>
  <c r="P9" i="1" s="1"/>
  <c r="N7" i="1" l="1"/>
  <c r="O7" i="1" s="1"/>
  <c r="P7" i="1" s="1"/>
</calcChain>
</file>

<file path=xl/sharedStrings.xml><?xml version="1.0" encoding="utf-8"?>
<sst xmlns="http://schemas.openxmlformats.org/spreadsheetml/2006/main" count="77" uniqueCount="66">
  <si>
    <t>Buoy Calculation Template - Imperial Units</t>
  </si>
  <si>
    <t>Use this worksheet to calculate displacement volume, buoyancy force, and net buoyancy for offshore buoys using original imperial units (ft, kip, kip/ft^3).</t>
  </si>
  <si>
    <t>Inputs: Buoy ID, Buoy Type, End Type, Overall Length, Diameter, Weight in Air, Seawater Density. Outputs are calculated automatically.</t>
  </si>
  <si>
    <t>Item No.</t>
  </si>
  <si>
    <t>Buoy ID</t>
  </si>
  <si>
    <t>Buoy Type</t>
  </si>
  <si>
    <t>End Type</t>
  </si>
  <si>
    <t>Overall Length L (ft)</t>
  </si>
  <si>
    <t>Diameter D (ft)</t>
  </si>
  <si>
    <t>Weight in Air (kip)</t>
  </si>
  <si>
    <t>Seawater Density (kip/ft^3)</t>
  </si>
  <si>
    <t>End Projection per End h (ft)</t>
  </si>
  <si>
    <t>Effective Cylinder Length Lc (ft)</t>
  </si>
  <si>
    <t>Radius r (ft)</t>
  </si>
  <si>
    <t>Cylinder Volume (ft^3)</t>
  </si>
  <si>
    <t>End Pair Volume (ft^3)</t>
  </si>
  <si>
    <t>Total Displacement Volume (ft^3)</t>
  </si>
  <si>
    <t>Buoyancy Force (kip)</t>
  </si>
  <si>
    <t>Net Buoyancy (kip)</t>
  </si>
  <si>
    <t>Assumption Note</t>
  </si>
  <si>
    <t>Formula Guide - Imperial Units</t>
  </si>
  <si>
    <t>Per-End Head Projection h (ft)</t>
  </si>
  <si>
    <t>Cylinder Length Lc (ft)</t>
  </si>
  <si>
    <t>Total Volume (ft^3)</t>
  </si>
  <si>
    <t>Notes</t>
  </si>
  <si>
    <t>Flat</t>
  </si>
  <si>
    <t>=0</t>
  </si>
  <si>
    <t>=L</t>
  </si>
  <si>
    <t>=PI()*(D/2)^2*L</t>
  </si>
  <si>
    <t>=Volume*ρ</t>
  </si>
  <si>
    <t>Use when the buoy body is treated as a full cylinder with flat ends.</t>
  </si>
  <si>
    <t>Hemispherical</t>
  </si>
  <si>
    <t>=D/2</t>
  </si>
  <si>
    <t>=L-D</t>
  </si>
  <si>
    <t>=4/3*PI()*(D/2)^3</t>
  </si>
  <si>
    <t>=PI()*(D/2)^2*(L-D)+4/3*PI()*(D/2)^3</t>
  </si>
  <si>
    <t>Assumes two hemispherical ends; total head length equals D.</t>
  </si>
  <si>
    <t>Elliptical</t>
  </si>
  <si>
    <t>=D/4</t>
  </si>
  <si>
    <t>=L-D/2</t>
  </si>
  <si>
    <t>=4/3*PI()*(D/2)^2*(D/4)</t>
  </si>
  <si>
    <t>=PI()*(D/2)^2*(L-D/2)+4/3*PI()*(D/2)^2*(D/4)</t>
  </si>
  <si>
    <t>Assumes two identical elliptical ends with head projection D/4 per end.</t>
  </si>
  <si>
    <t>Semi-Conical</t>
  </si>
  <si>
    <t>=2/3*PI()*(D/2)^2*(D/4)</t>
  </si>
  <si>
    <t>=PI()*(D/2)^2*(L-D/2)+2/3*PI()*(D/2)^2*(D/4)</t>
  </si>
  <si>
    <t>Assumes two identical semi-conical ends with head projection D/4 per end.</t>
  </si>
  <si>
    <t>Key Variables</t>
  </si>
  <si>
    <t>L</t>
  </si>
  <si>
    <t>Overall buoy length</t>
  </si>
  <si>
    <t>ft</t>
  </si>
  <si>
    <t>D</t>
  </si>
  <si>
    <t>Outside diameter</t>
  </si>
  <si>
    <t>h</t>
  </si>
  <si>
    <t>Head projection per end</t>
  </si>
  <si>
    <t>ρ</t>
  </si>
  <si>
    <t>Seawater density</t>
  </si>
  <si>
    <t>kip/ft^3</t>
  </si>
  <si>
    <t>Volume</t>
  </si>
  <si>
    <t>Total displaced volume</t>
  </si>
  <si>
    <t>ft^3</t>
  </si>
  <si>
    <t>Net Buoyancy</t>
  </si>
  <si>
    <t>Buoyancy Force - Weight in Air</t>
  </si>
  <si>
    <t>kip</t>
  </si>
  <si>
    <t>Recommended seawater density default for this worksheet: 0.06423837 kip/ft^3</t>
  </si>
  <si>
    <t>cilinder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</si>
</sst>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name val="Carlito"/>
    </font>
    <font>
      <b/>
      <sz val="16"/>
      <name val="Carlito"/>
    </font>
    <font>
      <i/>
      <sz val="10"/>
      <name val="Carlito"/>
    </font>
    <font>
      <sz val="10"/>
      <name val="Carlito"/>
    </font>
    <font>
      <b/>
      <sz val="10"/>
      <name val="Carlito"/>
    </font>
    <font>
      <b/>
      <sz val="12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A4" sqref="A4:Q4"/>
    </sheetView>
  </sheetViews>
  <sheetFormatPr defaultRowHeight="14"/>
  <cols>
    <col min="1" max="1" width="7.5" bestFit="1" customWidth="1"/>
    <col min="2" max="2" width="7" bestFit="1" customWidth="1"/>
    <col min="3" max="3" width="9.25" bestFit="1" customWidth="1"/>
    <col min="4" max="4" width="12.08203125" bestFit="1" customWidth="1"/>
    <col min="5" max="5" width="14.25" bestFit="1" customWidth="1"/>
    <col min="6" max="6" width="12.25" bestFit="1" customWidth="1"/>
    <col min="7" max="7" width="15.25" bestFit="1" customWidth="1"/>
    <col min="8" max="8" width="14.83203125" bestFit="1" customWidth="1"/>
    <col min="9" max="9" width="15.75" bestFit="1" customWidth="1"/>
    <col min="10" max="10" width="14.83203125" bestFit="1" customWidth="1"/>
    <col min="11" max="11" width="9.83203125" bestFit="1" customWidth="1"/>
    <col min="12" max="12" width="14.25" bestFit="1" customWidth="1"/>
    <col min="13" max="13" width="14.33203125" bestFit="1" customWidth="1"/>
    <col min="14" max="14" width="16.25" bestFit="1" customWidth="1"/>
    <col min="15" max="15" width="13.75" bestFit="1" customWidth="1"/>
    <col min="16" max="16" width="15.75" bestFit="1" customWidth="1"/>
    <col min="17" max="17" width="28.08203125" bestFit="1" customWidth="1"/>
  </cols>
  <sheetData>
    <row r="1" spans="1:17" ht="2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4" customHeight="1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4" spans="1:17" ht="20.149999999999999" customHeight="1">
      <c r="A4" s="8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6" spans="1:17" ht="32.15" customHeight="1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</row>
    <row r="7" spans="1:17" ht="22" customHeight="1">
      <c r="A7" s="2">
        <v>1</v>
      </c>
      <c r="B7" s="2">
        <v>1</v>
      </c>
      <c r="C7" s="2" t="s">
        <v>65</v>
      </c>
      <c r="D7" s="2" t="str">
        <f>'Formula Guide'!A5</f>
        <v>Hemispherical</v>
      </c>
      <c r="E7" s="3">
        <v>7</v>
      </c>
      <c r="F7" s="3">
        <v>4</v>
      </c>
      <c r="G7" s="3">
        <v>22</v>
      </c>
      <c r="H7" s="3">
        <v>6.4238370000000003E-2</v>
      </c>
      <c r="I7" s="3">
        <f t="shared" ref="I7:I21" si="0">IF(D7="","",IF(D7="Flat",0,IF(D7="Hemispherical",F7/2,IF(D7="Elliptical",F7/4,IF(D7="Semi-Conical",F7/4,"")))))</f>
        <v>2</v>
      </c>
      <c r="J7" s="3">
        <f t="shared" ref="J7:J21" si="1">IF(OR(E7="",I7=""),"",MAX(E7-2*I7,0))</f>
        <v>3</v>
      </c>
      <c r="K7" s="3">
        <f t="shared" ref="K7:K21" si="2">IF(F7="","",F7/2)</f>
        <v>2</v>
      </c>
      <c r="L7" s="3">
        <f t="shared" ref="L7:L21" si="3">IF(OR(K7="",J7=""),"",PI()*K7^2*J7)</f>
        <v>37.699111843077517</v>
      </c>
      <c r="M7" s="3">
        <f t="shared" ref="M7:M21" si="4">IF(D7="","",IF(D7="Flat",0,IF(D7="Hemispherical",4/3*PI()*K7^3,IF(D7="Elliptical",4/3*PI()*K7^2*I7,IF(D7="Semi-Conical",2/3*PI()*K7^2*I7,"")))))</f>
        <v>33.510321638291124</v>
      </c>
      <c r="N7" s="3">
        <f t="shared" ref="N7:N21" si="5">IF(OR(L7="",M7=""),"",L7+M7)</f>
        <v>71.209433481368649</v>
      </c>
      <c r="O7" s="3">
        <f t="shared" ref="O7:O21" si="6">IF(OR(N7="",H7=""),"",N7*H7)</f>
        <v>4.5743779354665479</v>
      </c>
      <c r="P7" s="3">
        <f t="shared" ref="P7:P21" si="7">IF(OR(O7="",G7=""),"",O7-G7)</f>
        <v>-17.425622064533453</v>
      </c>
      <c r="Q7" s="2" t="str">
        <f t="shared" ref="Q7:Q21" si="8">IF(D7="","",IF(D7="Flat","No end-cap volume added",IF(D7="Hemispherical","Two hemispherical ends assumed",IF(D7="Elliptical","Two elliptical ends assumed; h = D/4 per end",IF(D7="Semi-Conical","Two semi-conical ends assumed; h = D/4 per end","")))))</f>
        <v>Two hemispherical ends assumed</v>
      </c>
    </row>
    <row r="8" spans="1:17" ht="22" customHeight="1">
      <c r="A8" s="2">
        <v>2</v>
      </c>
      <c r="B8" s="2"/>
      <c r="C8" s="2"/>
      <c r="D8" s="2"/>
      <c r="E8" s="3"/>
      <c r="F8" s="3"/>
      <c r="G8" s="3"/>
      <c r="H8" s="3">
        <v>6.4238370000000003E-2</v>
      </c>
      <c r="I8" s="3" t="str">
        <f t="shared" si="0"/>
        <v/>
      </c>
      <c r="J8" s="3" t="str">
        <f t="shared" si="1"/>
        <v/>
      </c>
      <c r="K8" s="3" t="str">
        <f t="shared" si="2"/>
        <v/>
      </c>
      <c r="L8" s="3" t="str">
        <f t="shared" si="3"/>
        <v/>
      </c>
      <c r="M8" s="3" t="str">
        <f t="shared" si="4"/>
        <v/>
      </c>
      <c r="N8" s="3" t="str">
        <f t="shared" si="5"/>
        <v/>
      </c>
      <c r="O8" s="3" t="str">
        <f t="shared" si="6"/>
        <v/>
      </c>
      <c r="P8" s="3" t="str">
        <f t="shared" si="7"/>
        <v/>
      </c>
      <c r="Q8" s="2" t="str">
        <f t="shared" si="8"/>
        <v/>
      </c>
    </row>
    <row r="9" spans="1:17" ht="22" customHeight="1">
      <c r="A9" s="2">
        <v>3</v>
      </c>
      <c r="B9" s="2"/>
      <c r="C9" s="2"/>
      <c r="D9" s="2"/>
      <c r="E9" s="3"/>
      <c r="F9" s="3"/>
      <c r="G9" s="3"/>
      <c r="H9" s="3">
        <v>6.4238370000000003E-2</v>
      </c>
      <c r="I9" s="3" t="str">
        <f t="shared" si="0"/>
        <v/>
      </c>
      <c r="J9" s="3" t="str">
        <f t="shared" si="1"/>
        <v/>
      </c>
      <c r="K9" s="3" t="str">
        <f t="shared" si="2"/>
        <v/>
      </c>
      <c r="L9" s="3" t="str">
        <f t="shared" si="3"/>
        <v/>
      </c>
      <c r="M9" s="3" t="str">
        <f t="shared" si="4"/>
        <v/>
      </c>
      <c r="N9" s="3" t="str">
        <f t="shared" si="5"/>
        <v/>
      </c>
      <c r="O9" s="3" t="str">
        <f t="shared" si="6"/>
        <v/>
      </c>
      <c r="P9" s="3" t="str">
        <f t="shared" si="7"/>
        <v/>
      </c>
      <c r="Q9" s="2" t="str">
        <f t="shared" si="8"/>
        <v/>
      </c>
    </row>
    <row r="10" spans="1:17" ht="22" customHeight="1">
      <c r="A10" s="2">
        <v>4</v>
      </c>
      <c r="B10" s="2"/>
      <c r="C10" s="2"/>
      <c r="D10" s="2"/>
      <c r="E10" s="3"/>
      <c r="F10" s="3"/>
      <c r="G10" s="3"/>
      <c r="H10" s="3">
        <v>6.4238370000000003E-2</v>
      </c>
      <c r="I10" s="3" t="str">
        <f t="shared" si="0"/>
        <v/>
      </c>
      <c r="J10" s="3" t="str">
        <f t="shared" si="1"/>
        <v/>
      </c>
      <c r="K10" s="3" t="str">
        <f t="shared" si="2"/>
        <v/>
      </c>
      <c r="L10" s="3" t="str">
        <f t="shared" si="3"/>
        <v/>
      </c>
      <c r="M10" s="3" t="str">
        <f t="shared" si="4"/>
        <v/>
      </c>
      <c r="N10" s="3" t="str">
        <f t="shared" si="5"/>
        <v/>
      </c>
      <c r="O10" s="3" t="str">
        <f t="shared" si="6"/>
        <v/>
      </c>
      <c r="P10" s="3" t="str">
        <f t="shared" si="7"/>
        <v/>
      </c>
      <c r="Q10" s="2" t="str">
        <f t="shared" si="8"/>
        <v/>
      </c>
    </row>
    <row r="11" spans="1:17" ht="22" customHeight="1">
      <c r="A11" s="2">
        <v>5</v>
      </c>
      <c r="B11" s="2"/>
      <c r="C11" s="2"/>
      <c r="D11" s="2"/>
      <c r="E11" s="3"/>
      <c r="F11" s="3"/>
      <c r="G11" s="3"/>
      <c r="H11" s="3">
        <v>6.4238370000000003E-2</v>
      </c>
      <c r="I11" s="3" t="str">
        <f t="shared" si="0"/>
        <v/>
      </c>
      <c r="J11" s="3" t="str">
        <f t="shared" si="1"/>
        <v/>
      </c>
      <c r="K11" s="3" t="str">
        <f t="shared" si="2"/>
        <v/>
      </c>
      <c r="L11" s="3" t="str">
        <f t="shared" si="3"/>
        <v/>
      </c>
      <c r="M11" s="3" t="str">
        <f t="shared" si="4"/>
        <v/>
      </c>
      <c r="N11" s="3" t="str">
        <f t="shared" si="5"/>
        <v/>
      </c>
      <c r="O11" s="3" t="str">
        <f t="shared" si="6"/>
        <v/>
      </c>
      <c r="P11" s="3" t="str">
        <f t="shared" si="7"/>
        <v/>
      </c>
      <c r="Q11" s="2" t="str">
        <f t="shared" si="8"/>
        <v/>
      </c>
    </row>
    <row r="12" spans="1:17" ht="22" customHeight="1">
      <c r="A12" s="2">
        <v>6</v>
      </c>
      <c r="B12" s="2"/>
      <c r="C12" s="2"/>
      <c r="D12" s="2"/>
      <c r="E12" s="3"/>
      <c r="F12" s="3"/>
      <c r="G12" s="3"/>
      <c r="H12" s="3">
        <v>6.4238370000000003E-2</v>
      </c>
      <c r="I12" s="3" t="str">
        <f t="shared" si="0"/>
        <v/>
      </c>
      <c r="J12" s="3" t="str">
        <f t="shared" si="1"/>
        <v/>
      </c>
      <c r="K12" s="3" t="str">
        <f t="shared" si="2"/>
        <v/>
      </c>
      <c r="L12" s="3" t="str">
        <f t="shared" si="3"/>
        <v/>
      </c>
      <c r="M12" s="3" t="str">
        <f t="shared" si="4"/>
        <v/>
      </c>
      <c r="N12" s="3" t="str">
        <f t="shared" si="5"/>
        <v/>
      </c>
      <c r="O12" s="3" t="str">
        <f t="shared" si="6"/>
        <v/>
      </c>
      <c r="P12" s="3" t="str">
        <f t="shared" si="7"/>
        <v/>
      </c>
      <c r="Q12" s="2" t="str">
        <f t="shared" si="8"/>
        <v/>
      </c>
    </row>
    <row r="13" spans="1:17" ht="22" customHeight="1">
      <c r="A13" s="2">
        <v>7</v>
      </c>
      <c r="B13" s="2"/>
      <c r="C13" s="2"/>
      <c r="D13" s="2"/>
      <c r="E13" s="3"/>
      <c r="F13" s="3"/>
      <c r="G13" s="3"/>
      <c r="H13" s="3">
        <v>6.4238370000000003E-2</v>
      </c>
      <c r="I13" s="3" t="str">
        <f t="shared" si="0"/>
        <v/>
      </c>
      <c r="J13" s="3" t="str">
        <f t="shared" si="1"/>
        <v/>
      </c>
      <c r="K13" s="3" t="str">
        <f t="shared" si="2"/>
        <v/>
      </c>
      <c r="L13" s="3" t="str">
        <f t="shared" si="3"/>
        <v/>
      </c>
      <c r="M13" s="3" t="str">
        <f t="shared" si="4"/>
        <v/>
      </c>
      <c r="N13" s="3" t="str">
        <f t="shared" si="5"/>
        <v/>
      </c>
      <c r="O13" s="3" t="str">
        <f t="shared" si="6"/>
        <v/>
      </c>
      <c r="P13" s="3" t="str">
        <f t="shared" si="7"/>
        <v/>
      </c>
      <c r="Q13" s="2" t="str">
        <f t="shared" si="8"/>
        <v/>
      </c>
    </row>
    <row r="14" spans="1:17" ht="22" customHeight="1">
      <c r="A14" s="2">
        <v>8</v>
      </c>
      <c r="B14" s="2"/>
      <c r="C14" s="2"/>
      <c r="D14" s="2"/>
      <c r="E14" s="3"/>
      <c r="F14" s="3"/>
      <c r="G14" s="3"/>
      <c r="H14" s="3">
        <v>6.4238370000000003E-2</v>
      </c>
      <c r="I14" s="3" t="str">
        <f t="shared" si="0"/>
        <v/>
      </c>
      <c r="J14" s="3" t="str">
        <f t="shared" si="1"/>
        <v/>
      </c>
      <c r="K14" s="3" t="str">
        <f t="shared" si="2"/>
        <v/>
      </c>
      <c r="L14" s="3" t="str">
        <f t="shared" si="3"/>
        <v/>
      </c>
      <c r="M14" s="3" t="str">
        <f t="shared" si="4"/>
        <v/>
      </c>
      <c r="N14" s="3" t="str">
        <f t="shared" si="5"/>
        <v/>
      </c>
      <c r="O14" s="3" t="str">
        <f t="shared" si="6"/>
        <v/>
      </c>
      <c r="P14" s="3" t="str">
        <f t="shared" si="7"/>
        <v/>
      </c>
      <c r="Q14" s="2" t="str">
        <f t="shared" si="8"/>
        <v/>
      </c>
    </row>
    <row r="15" spans="1:17" ht="22" customHeight="1">
      <c r="A15" s="2">
        <v>9</v>
      </c>
      <c r="B15" s="2"/>
      <c r="C15" s="2"/>
      <c r="D15" s="2"/>
      <c r="E15" s="3"/>
      <c r="F15" s="3"/>
      <c r="G15" s="3"/>
      <c r="H15" s="3">
        <v>6.4238370000000003E-2</v>
      </c>
      <c r="I15" s="3" t="str">
        <f t="shared" si="0"/>
        <v/>
      </c>
      <c r="J15" s="3" t="str">
        <f t="shared" si="1"/>
        <v/>
      </c>
      <c r="K15" s="3" t="str">
        <f t="shared" si="2"/>
        <v/>
      </c>
      <c r="L15" s="3" t="str">
        <f t="shared" si="3"/>
        <v/>
      </c>
      <c r="M15" s="3" t="str">
        <f t="shared" si="4"/>
        <v/>
      </c>
      <c r="N15" s="3" t="str">
        <f t="shared" si="5"/>
        <v/>
      </c>
      <c r="O15" s="3" t="str">
        <f t="shared" si="6"/>
        <v/>
      </c>
      <c r="P15" s="3" t="str">
        <f t="shared" si="7"/>
        <v/>
      </c>
      <c r="Q15" s="2" t="str">
        <f t="shared" si="8"/>
        <v/>
      </c>
    </row>
    <row r="16" spans="1:17" ht="22" customHeight="1">
      <c r="A16" s="2">
        <v>10</v>
      </c>
      <c r="B16" s="2"/>
      <c r="C16" s="2"/>
      <c r="D16" s="2"/>
      <c r="E16" s="3"/>
      <c r="F16" s="3"/>
      <c r="G16" s="3"/>
      <c r="H16" s="3">
        <v>6.4238370000000003E-2</v>
      </c>
      <c r="I16" s="3" t="str">
        <f t="shared" si="0"/>
        <v/>
      </c>
      <c r="J16" s="3" t="str">
        <f t="shared" si="1"/>
        <v/>
      </c>
      <c r="K16" s="3" t="str">
        <f t="shared" si="2"/>
        <v/>
      </c>
      <c r="L16" s="3" t="str">
        <f t="shared" si="3"/>
        <v/>
      </c>
      <c r="M16" s="3" t="str">
        <f t="shared" si="4"/>
        <v/>
      </c>
      <c r="N16" s="3" t="str">
        <f t="shared" si="5"/>
        <v/>
      </c>
      <c r="O16" s="3" t="str">
        <f t="shared" si="6"/>
        <v/>
      </c>
      <c r="P16" s="3" t="str">
        <f t="shared" si="7"/>
        <v/>
      </c>
      <c r="Q16" s="2" t="str">
        <f t="shared" si="8"/>
        <v/>
      </c>
    </row>
    <row r="17" spans="1:17" ht="22" customHeight="1">
      <c r="A17" s="2">
        <v>11</v>
      </c>
      <c r="B17" s="2"/>
      <c r="C17" s="2"/>
      <c r="D17" s="2"/>
      <c r="E17" s="3"/>
      <c r="F17" s="3"/>
      <c r="G17" s="3"/>
      <c r="H17" s="3">
        <v>6.4238370000000003E-2</v>
      </c>
      <c r="I17" s="3" t="str">
        <f t="shared" si="0"/>
        <v/>
      </c>
      <c r="J17" s="3" t="str">
        <f t="shared" si="1"/>
        <v/>
      </c>
      <c r="K17" s="3" t="str">
        <f t="shared" si="2"/>
        <v/>
      </c>
      <c r="L17" s="3" t="str">
        <f t="shared" si="3"/>
        <v/>
      </c>
      <c r="M17" s="3" t="str">
        <f t="shared" si="4"/>
        <v/>
      </c>
      <c r="N17" s="3" t="str">
        <f t="shared" si="5"/>
        <v/>
      </c>
      <c r="O17" s="3" t="str">
        <f t="shared" si="6"/>
        <v/>
      </c>
      <c r="P17" s="3" t="str">
        <f t="shared" si="7"/>
        <v/>
      </c>
      <c r="Q17" s="2" t="str">
        <f t="shared" si="8"/>
        <v/>
      </c>
    </row>
    <row r="18" spans="1:17" ht="22" customHeight="1">
      <c r="A18" s="2">
        <v>12</v>
      </c>
      <c r="B18" s="2"/>
      <c r="C18" s="2"/>
      <c r="D18" s="2"/>
      <c r="E18" s="3"/>
      <c r="F18" s="3"/>
      <c r="G18" s="3"/>
      <c r="H18" s="3">
        <v>6.4238370000000003E-2</v>
      </c>
      <c r="I18" s="3" t="str">
        <f t="shared" si="0"/>
        <v/>
      </c>
      <c r="J18" s="3" t="str">
        <f t="shared" si="1"/>
        <v/>
      </c>
      <c r="K18" s="3" t="str">
        <f t="shared" si="2"/>
        <v/>
      </c>
      <c r="L18" s="3" t="str">
        <f t="shared" si="3"/>
        <v/>
      </c>
      <c r="M18" s="3" t="str">
        <f t="shared" si="4"/>
        <v/>
      </c>
      <c r="N18" s="3" t="str">
        <f t="shared" si="5"/>
        <v/>
      </c>
      <c r="O18" s="3" t="str">
        <f t="shared" si="6"/>
        <v/>
      </c>
      <c r="P18" s="3" t="str">
        <f t="shared" si="7"/>
        <v/>
      </c>
      <c r="Q18" s="2" t="str">
        <f t="shared" si="8"/>
        <v/>
      </c>
    </row>
    <row r="19" spans="1:17" ht="22" customHeight="1">
      <c r="A19" s="2">
        <v>13</v>
      </c>
      <c r="B19" s="2"/>
      <c r="C19" s="2"/>
      <c r="D19" s="2"/>
      <c r="E19" s="3"/>
      <c r="F19" s="3"/>
      <c r="G19" s="3"/>
      <c r="H19" s="3">
        <v>6.4238370000000003E-2</v>
      </c>
      <c r="I19" s="3" t="str">
        <f t="shared" si="0"/>
        <v/>
      </c>
      <c r="J19" s="3" t="str">
        <f t="shared" si="1"/>
        <v/>
      </c>
      <c r="K19" s="3" t="str">
        <f t="shared" si="2"/>
        <v/>
      </c>
      <c r="L19" s="3" t="str">
        <f t="shared" si="3"/>
        <v/>
      </c>
      <c r="M19" s="3" t="str">
        <f t="shared" si="4"/>
        <v/>
      </c>
      <c r="N19" s="3" t="str">
        <f t="shared" si="5"/>
        <v/>
      </c>
      <c r="O19" s="3" t="str">
        <f t="shared" si="6"/>
        <v/>
      </c>
      <c r="P19" s="3" t="str">
        <f t="shared" si="7"/>
        <v/>
      </c>
      <c r="Q19" s="2" t="str">
        <f t="shared" si="8"/>
        <v/>
      </c>
    </row>
    <row r="20" spans="1:17" ht="22" customHeight="1">
      <c r="A20" s="2">
        <v>14</v>
      </c>
      <c r="B20" s="2"/>
      <c r="C20" s="2"/>
      <c r="D20" s="2"/>
      <c r="E20" s="3"/>
      <c r="F20" s="3"/>
      <c r="G20" s="3"/>
      <c r="H20" s="3">
        <v>6.4238370000000003E-2</v>
      </c>
      <c r="I20" s="3" t="str">
        <f t="shared" si="0"/>
        <v/>
      </c>
      <c r="J20" s="3" t="str">
        <f t="shared" si="1"/>
        <v/>
      </c>
      <c r="K20" s="3" t="str">
        <f t="shared" si="2"/>
        <v/>
      </c>
      <c r="L20" s="3" t="str">
        <f t="shared" si="3"/>
        <v/>
      </c>
      <c r="M20" s="3" t="str">
        <f t="shared" si="4"/>
        <v/>
      </c>
      <c r="N20" s="3" t="str">
        <f t="shared" si="5"/>
        <v/>
      </c>
      <c r="O20" s="3" t="str">
        <f t="shared" si="6"/>
        <v/>
      </c>
      <c r="P20" s="3" t="str">
        <f t="shared" si="7"/>
        <v/>
      </c>
      <c r="Q20" s="2" t="str">
        <f t="shared" si="8"/>
        <v/>
      </c>
    </row>
    <row r="21" spans="1:17" ht="22" customHeight="1">
      <c r="A21" s="2">
        <v>15</v>
      </c>
      <c r="B21" s="2"/>
      <c r="C21" s="2"/>
      <c r="D21" s="2"/>
      <c r="E21" s="3"/>
      <c r="F21" s="3"/>
      <c r="G21" s="3"/>
      <c r="H21" s="3">
        <v>6.4238370000000003E-2</v>
      </c>
      <c r="I21" s="3" t="str">
        <f t="shared" si="0"/>
        <v/>
      </c>
      <c r="J21" s="3" t="str">
        <f t="shared" si="1"/>
        <v/>
      </c>
      <c r="K21" s="3" t="str">
        <f t="shared" si="2"/>
        <v/>
      </c>
      <c r="L21" s="3" t="str">
        <f t="shared" si="3"/>
        <v/>
      </c>
      <c r="M21" s="3" t="str">
        <f t="shared" si="4"/>
        <v/>
      </c>
      <c r="N21" s="3" t="str">
        <f t="shared" si="5"/>
        <v/>
      </c>
      <c r="O21" s="3" t="str">
        <f t="shared" si="6"/>
        <v/>
      </c>
      <c r="P21" s="3" t="str">
        <f t="shared" si="7"/>
        <v/>
      </c>
      <c r="Q21" s="2" t="str">
        <f t="shared" si="8"/>
        <v/>
      </c>
    </row>
  </sheetData>
  <mergeCells count="3">
    <mergeCell ref="A1:Q1"/>
    <mergeCell ref="A2:Q2"/>
    <mergeCell ref="A4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11" sqref="B11"/>
    </sheetView>
  </sheetViews>
  <sheetFormatPr defaultRowHeight="14"/>
  <cols>
    <col min="1" max="1" width="12.5" bestFit="1" customWidth="1"/>
    <col min="2" max="2" width="26.5" bestFit="1" customWidth="1"/>
    <col min="3" max="3" width="18.58203125" bestFit="1" customWidth="1"/>
    <col min="4" max="4" width="19.75" bestFit="1" customWidth="1"/>
    <col min="5" max="5" width="30.75" bestFit="1" customWidth="1"/>
    <col min="6" max="6" width="17.75" bestFit="1" customWidth="1"/>
    <col min="7" max="7" width="43.75" bestFit="1" customWidth="1"/>
  </cols>
  <sheetData>
    <row r="1" spans="1:7" ht="20">
      <c r="A1" s="9" t="s">
        <v>20</v>
      </c>
      <c r="B1" s="10"/>
      <c r="C1" s="10"/>
      <c r="D1" s="10"/>
      <c r="E1" s="10"/>
      <c r="F1" s="10"/>
      <c r="G1" s="10"/>
    </row>
    <row r="2" spans="1:7">
      <c r="A2" s="4"/>
      <c r="B2" s="4"/>
      <c r="C2" s="4"/>
      <c r="D2" s="4"/>
      <c r="E2" s="4"/>
      <c r="F2" s="4"/>
      <c r="G2" s="4"/>
    </row>
    <row r="3" spans="1:7" ht="28" customHeight="1">
      <c r="A3" s="1" t="s">
        <v>6</v>
      </c>
      <c r="B3" s="1" t="s">
        <v>21</v>
      </c>
      <c r="C3" s="1" t="s">
        <v>22</v>
      </c>
      <c r="D3" s="1" t="s">
        <v>15</v>
      </c>
      <c r="E3" s="1" t="s">
        <v>23</v>
      </c>
      <c r="F3" s="1" t="s">
        <v>17</v>
      </c>
      <c r="G3" s="1" t="s">
        <v>24</v>
      </c>
    </row>
    <row r="4" spans="1:7" ht="32.15" customHeight="1">
      <c r="A4" s="2" t="s">
        <v>25</v>
      </c>
      <c r="B4" s="2" t="s">
        <v>26</v>
      </c>
      <c r="C4" s="2" t="s">
        <v>27</v>
      </c>
      <c r="D4" s="2" t="s">
        <v>26</v>
      </c>
      <c r="E4" s="2" t="s">
        <v>28</v>
      </c>
      <c r="F4" s="2" t="s">
        <v>29</v>
      </c>
      <c r="G4" s="2" t="s">
        <v>30</v>
      </c>
    </row>
    <row r="5" spans="1:7" ht="32.15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29</v>
      </c>
      <c r="G5" s="2" t="s">
        <v>36</v>
      </c>
    </row>
    <row r="6" spans="1:7" ht="32.15" customHeight="1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29</v>
      </c>
      <c r="G6" s="2" t="s">
        <v>42</v>
      </c>
    </row>
    <row r="7" spans="1:7" ht="32.15" customHeight="1">
      <c r="A7" s="2" t="s">
        <v>43</v>
      </c>
      <c r="B7" s="2" t="s">
        <v>38</v>
      </c>
      <c r="C7" s="2" t="s">
        <v>39</v>
      </c>
      <c r="D7" s="2" t="s">
        <v>44</v>
      </c>
      <c r="E7" s="2" t="s">
        <v>45</v>
      </c>
      <c r="F7" s="2" t="s">
        <v>29</v>
      </c>
      <c r="G7" s="2" t="s">
        <v>46</v>
      </c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 ht="15.5">
      <c r="A10" s="11" t="s">
        <v>47</v>
      </c>
      <c r="B10" s="10"/>
      <c r="C10" s="10"/>
      <c r="D10" s="10"/>
      <c r="E10" s="10"/>
      <c r="F10" s="10"/>
      <c r="G10" s="4"/>
    </row>
    <row r="11" spans="1:7" ht="22" customHeight="1">
      <c r="A11" s="2" t="s">
        <v>48</v>
      </c>
      <c r="B11" s="2" t="s">
        <v>49</v>
      </c>
      <c r="C11" s="2" t="s">
        <v>50</v>
      </c>
      <c r="D11" s="4"/>
      <c r="E11" s="4"/>
      <c r="F11" s="4"/>
      <c r="G11" s="4"/>
    </row>
    <row r="12" spans="1:7" ht="22" customHeight="1">
      <c r="A12" s="2" t="s">
        <v>51</v>
      </c>
      <c r="B12" s="2" t="s">
        <v>52</v>
      </c>
      <c r="C12" s="2" t="s">
        <v>50</v>
      </c>
      <c r="D12" s="4"/>
      <c r="E12" s="4"/>
      <c r="F12" s="4"/>
      <c r="G12" s="4"/>
    </row>
    <row r="13" spans="1:7" ht="22" customHeight="1">
      <c r="A13" s="2" t="s">
        <v>53</v>
      </c>
      <c r="B13" s="2" t="s">
        <v>54</v>
      </c>
      <c r="C13" s="2" t="s">
        <v>50</v>
      </c>
      <c r="D13" s="4"/>
      <c r="E13" s="4"/>
      <c r="F13" s="4"/>
      <c r="G13" s="4"/>
    </row>
    <row r="14" spans="1:7" ht="22" customHeight="1">
      <c r="A14" s="2" t="s">
        <v>55</v>
      </c>
      <c r="B14" s="2" t="s">
        <v>56</v>
      </c>
      <c r="C14" s="2" t="s">
        <v>57</v>
      </c>
      <c r="D14" s="4"/>
      <c r="E14" s="4"/>
      <c r="F14" s="4"/>
      <c r="G14" s="4"/>
    </row>
    <row r="15" spans="1:7" ht="22" customHeight="1">
      <c r="A15" s="2" t="s">
        <v>58</v>
      </c>
      <c r="B15" s="2" t="s">
        <v>59</v>
      </c>
      <c r="C15" s="2" t="s">
        <v>60</v>
      </c>
      <c r="D15" s="4"/>
      <c r="E15" s="4"/>
      <c r="F15" s="4"/>
      <c r="G15" s="4"/>
    </row>
    <row r="16" spans="1:7" ht="22" customHeight="1">
      <c r="A16" s="2" t="s">
        <v>61</v>
      </c>
      <c r="B16" s="2" t="s">
        <v>62</v>
      </c>
      <c r="C16" s="2" t="s">
        <v>63</v>
      </c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12" t="s">
        <v>64</v>
      </c>
      <c r="B19" s="10"/>
      <c r="C19" s="10"/>
      <c r="D19" s="10"/>
      <c r="E19" s="10"/>
      <c r="F19" s="10"/>
      <c r="G19" s="10"/>
    </row>
    <row r="20" spans="1:7">
      <c r="A20" s="4"/>
      <c r="B20" s="4"/>
      <c r="C20" s="4"/>
      <c r="D20" s="4"/>
      <c r="E20" s="4"/>
      <c r="F20" s="4"/>
      <c r="G20" s="4"/>
    </row>
  </sheetData>
  <mergeCells count="3">
    <mergeCell ref="A1:G1"/>
    <mergeCell ref="A10:F10"/>
    <mergeCell ref="A19:G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Buoy Calculation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Braghini Ramalho - PrestServ</dc:creator>
  <cp:lastModifiedBy>Andre Braghini Ramalho - PrestServ</cp:lastModifiedBy>
  <dcterms:created xsi:type="dcterms:W3CDTF">2026-04-24T18:09:15Z</dcterms:created>
  <dcterms:modified xsi:type="dcterms:W3CDTF">2026-04-24T18:09:15Z</dcterms:modified>
</cp:coreProperties>
</file>